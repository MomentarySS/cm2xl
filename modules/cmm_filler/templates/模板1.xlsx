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AI\work\20260708-开发\"/>
    </mc:Choice>
  </mc:AlternateContent>
  <xr:revisionPtr revIDLastSave="0" documentId="13_ncr:1_{2F719BCA-1475-44A2-B81F-8E42B954C8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1" r:id="rId1"/>
    <sheet name="CPK" sheetId="3" r:id="rId2"/>
  </sheets>
  <definedNames>
    <definedName name="_xlnm.Print_Area" localSheetId="0">A!$A$1:$M$33</definedName>
    <definedName name="_xlnm.Print_Area" localSheetId="1">CPK!$A$1:$L$30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27" i="3"/>
  <c r="E27" i="3"/>
  <c r="BK26" i="3"/>
  <c r="BJ26" i="3"/>
  <c r="BI26" i="3"/>
  <c r="BH26" i="3"/>
  <c r="BG26" i="3"/>
  <c r="BF26" i="3"/>
  <c r="BE26" i="3"/>
  <c r="F26" i="3"/>
  <c r="E26" i="3"/>
  <c r="BK25" i="3"/>
  <c r="BJ25" i="3"/>
  <c r="BI25" i="3"/>
  <c r="BH25" i="3"/>
  <c r="BG25" i="3"/>
  <c r="BF25" i="3"/>
  <c r="BE25" i="3"/>
  <c r="F25" i="3"/>
  <c r="E25" i="3"/>
  <c r="BK24" i="3"/>
  <c r="BJ24" i="3"/>
  <c r="BI24" i="3"/>
  <c r="BH24" i="3"/>
  <c r="BG24" i="3"/>
  <c r="BF24" i="3"/>
  <c r="BE24" i="3"/>
  <c r="F24" i="3"/>
  <c r="E24" i="3"/>
  <c r="BK23" i="3"/>
  <c r="BJ23" i="3"/>
  <c r="BI23" i="3"/>
  <c r="BH23" i="3"/>
  <c r="BG23" i="3"/>
  <c r="BF23" i="3"/>
  <c r="BE23" i="3"/>
  <c r="F23" i="3"/>
  <c r="E23" i="3"/>
  <c r="BK22" i="3"/>
  <c r="BJ22" i="3"/>
  <c r="BI22" i="3"/>
  <c r="BH22" i="3"/>
  <c r="BG22" i="3"/>
  <c r="BF22" i="3"/>
  <c r="BE22" i="3"/>
  <c r="F22" i="3"/>
  <c r="E22" i="3"/>
  <c r="BK21" i="3"/>
  <c r="BJ21" i="3"/>
  <c r="BI21" i="3"/>
  <c r="BH21" i="3"/>
  <c r="BG21" i="3"/>
  <c r="BF21" i="3"/>
  <c r="BE21" i="3"/>
  <c r="F21" i="3"/>
  <c r="E21" i="3"/>
  <c r="BK20" i="3"/>
  <c r="BJ20" i="3"/>
  <c r="BI20" i="3"/>
  <c r="BH20" i="3"/>
  <c r="BG20" i="3"/>
  <c r="BF20" i="3"/>
  <c r="BE20" i="3"/>
  <c r="F20" i="3"/>
  <c r="E20" i="3"/>
  <c r="BK19" i="3"/>
  <c r="BJ19" i="3"/>
  <c r="BI19" i="3"/>
  <c r="BH19" i="3"/>
  <c r="BG19" i="3"/>
  <c r="BF19" i="3"/>
  <c r="BE19" i="3"/>
  <c r="F19" i="3"/>
  <c r="E19" i="3"/>
  <c r="BK18" i="3"/>
  <c r="BJ18" i="3"/>
  <c r="BI18" i="3"/>
  <c r="BH18" i="3"/>
  <c r="BG18" i="3"/>
  <c r="BF18" i="3"/>
  <c r="BE18" i="3"/>
  <c r="F18" i="3"/>
  <c r="E18" i="3"/>
  <c r="BK17" i="3"/>
  <c r="BJ17" i="3"/>
  <c r="BI17" i="3"/>
  <c r="BH17" i="3"/>
  <c r="BG17" i="3"/>
  <c r="BF17" i="3"/>
  <c r="BE17" i="3"/>
  <c r="F17" i="3"/>
  <c r="E17" i="3"/>
  <c r="BK16" i="3"/>
  <c r="BJ16" i="3"/>
  <c r="BI16" i="3"/>
  <c r="BH16" i="3"/>
  <c r="BG16" i="3"/>
  <c r="BF16" i="3"/>
  <c r="BE16" i="3"/>
  <c r="F16" i="3"/>
  <c r="E16" i="3"/>
  <c r="BK15" i="3"/>
  <c r="BJ15" i="3"/>
  <c r="BI15" i="3"/>
  <c r="BH15" i="3"/>
  <c r="BG15" i="3"/>
  <c r="BF15" i="3"/>
  <c r="BE15" i="3"/>
  <c r="F15" i="3"/>
  <c r="E15" i="3"/>
  <c r="BK14" i="3"/>
  <c r="BJ14" i="3"/>
  <c r="BI14" i="3"/>
  <c r="BH14" i="3"/>
  <c r="BG14" i="3"/>
  <c r="BF14" i="3"/>
  <c r="BE14" i="3"/>
  <c r="F14" i="3"/>
  <c r="E14" i="3"/>
  <c r="BK13" i="3"/>
  <c r="BJ13" i="3"/>
  <c r="BI13" i="3"/>
  <c r="BH13" i="3"/>
  <c r="BG13" i="3"/>
  <c r="BF13" i="3"/>
  <c r="BE13" i="3"/>
  <c r="F13" i="3"/>
  <c r="E13" i="3"/>
  <c r="BF12" i="3"/>
  <c r="BH12" i="3" s="1"/>
  <c r="BE12" i="3"/>
  <c r="BI12" i="3" s="1"/>
  <c r="F12" i="3"/>
  <c r="E12" i="3"/>
  <c r="BF11" i="3"/>
  <c r="BE11" i="3"/>
  <c r="F11" i="3"/>
  <c r="E11" i="3"/>
  <c r="BI11" i="3" s="1"/>
  <c r="BK11" i="3" s="1"/>
  <c r="BF10" i="3"/>
  <c r="BE10" i="3"/>
  <c r="F10" i="3"/>
  <c r="E10" i="3"/>
  <c r="BF9" i="3"/>
  <c r="BE9" i="3"/>
  <c r="F9" i="3"/>
  <c r="E9" i="3"/>
  <c r="BG9" i="3" s="1"/>
  <c r="BF8" i="3"/>
  <c r="BE8" i="3"/>
  <c r="F8" i="3"/>
  <c r="E8" i="3"/>
  <c r="BF7" i="3"/>
  <c r="BE7" i="3"/>
  <c r="F7" i="3"/>
  <c r="E7" i="3"/>
  <c r="BI7" i="3" s="1"/>
  <c r="BK7" i="3" s="1"/>
  <c r="BF6" i="3"/>
  <c r="BE6" i="3"/>
  <c r="F6" i="3"/>
  <c r="E6" i="3"/>
  <c r="BF5" i="3"/>
  <c r="BE5" i="3"/>
  <c r="F5" i="3"/>
  <c r="E5" i="3"/>
  <c r="BG5" i="3" s="1"/>
  <c r="BF4" i="3"/>
  <c r="BE4" i="3"/>
  <c r="F4" i="3"/>
  <c r="E4" i="3"/>
  <c r="BF3" i="3"/>
  <c r="BH3" i="3" s="1"/>
  <c r="BE3" i="3"/>
  <c r="F3" i="3"/>
  <c r="E3" i="3"/>
  <c r="BI8" i="3" l="1"/>
  <c r="BI4" i="3"/>
  <c r="BH4" i="3"/>
  <c r="BI9" i="3"/>
  <c r="BI5" i="3"/>
  <c r="BJ5" i="3" s="1"/>
  <c r="BH5" i="3"/>
  <c r="BI10" i="3"/>
  <c r="BK10" i="3" s="1"/>
  <c r="BI6" i="3"/>
  <c r="BK6" i="3" s="1"/>
  <c r="BG7" i="3"/>
  <c r="BH11" i="3"/>
  <c r="BH7" i="3"/>
  <c r="BH8" i="3"/>
  <c r="BH10" i="3"/>
  <c r="BH6" i="3"/>
  <c r="BG11" i="3"/>
  <c r="BI3" i="3"/>
  <c r="BK3" i="3"/>
  <c r="BJ3" i="3"/>
  <c r="BK12" i="3"/>
  <c r="BJ12" i="3"/>
  <c r="BK8" i="3"/>
  <c r="BJ8" i="3"/>
  <c r="BK4" i="3"/>
  <c r="BJ4" i="3"/>
  <c r="BJ9" i="3"/>
  <c r="BK9" i="3"/>
  <c r="BK5" i="3"/>
  <c r="BJ7" i="3"/>
  <c r="BG3" i="3"/>
  <c r="BG12" i="3"/>
  <c r="BG10" i="3"/>
  <c r="BG8" i="3"/>
  <c r="BG6" i="3"/>
  <c r="BG4" i="3"/>
  <c r="BH9" i="3"/>
  <c r="BJ11" i="3"/>
  <c r="BJ6" i="3" l="1"/>
  <c r="BJ10" i="3"/>
</calcChain>
</file>

<file path=xl/sharedStrings.xml><?xml version="1.0" encoding="utf-8"?>
<sst xmlns="http://schemas.openxmlformats.org/spreadsheetml/2006/main" count="80" uniqueCount="53">
  <si>
    <t>检测报告</t>
  </si>
  <si>
    <t>图纸编号</t>
  </si>
  <si>
    <t>版本</t>
  </si>
  <si>
    <t>总数量</t>
  </si>
  <si>
    <t>检测数量</t>
  </si>
  <si>
    <t>检测人</t>
  </si>
  <si>
    <t>审核人</t>
  </si>
  <si>
    <t>日期</t>
  </si>
  <si>
    <t>产品名称</t>
  </si>
  <si>
    <t>/</t>
  </si>
  <si>
    <t>序号</t>
  </si>
  <si>
    <t>规格</t>
  </si>
  <si>
    <t>上公差</t>
  </si>
  <si>
    <t>下公差</t>
  </si>
  <si>
    <t>上限</t>
  </si>
  <si>
    <t>下限</t>
  </si>
  <si>
    <t>测量仪器</t>
  </si>
  <si>
    <t>送检产品序号</t>
  </si>
  <si>
    <t>备注</t>
  </si>
  <si>
    <t>1#</t>
  </si>
  <si>
    <t>2#</t>
  </si>
  <si>
    <t>3#</t>
  </si>
  <si>
    <t>4#</t>
  </si>
  <si>
    <t>5#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</si>
  <si>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</si>
  <si>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</si>
  <si>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</si>
  <si>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</si>
  <si>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</si>
  <si>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</si>
  <si>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</si>
  <si>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</si>
  <si>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</si>
  <si>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</si>
  <si>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</si>
  <si>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</si>
  <si>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</si>
  <si>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</si>
  <si>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</si>
  <si>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</si>
  <si>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</si>
  <si>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</si>
  <si>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</si>
  <si>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</si>
  <si>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检验判定结果OK/NG</t>
  </si>
  <si>
    <t>检具代号： A: CMM  B：螺纹规 C：千分尺  D：硬度计 G：高度计 H：厚薄规  J：卷尺 K：卡尺  L:轮廓度仪 O：粗糙度仪  P:粗糙度块  Q ：千分表 X: 显微镜  Y： 影像投影仪 Z：针规 M：目视   F：高度仪</t>
  </si>
  <si>
    <t>均值</t>
  </si>
  <si>
    <t>标准差</t>
  </si>
  <si>
    <t>偏移度 (Ca)</t>
  </si>
  <si>
    <t>潜在能力 (Cp)</t>
  </si>
  <si>
    <t>过程能力 (CPK)</t>
  </si>
  <si>
    <t>能力等级</t>
  </si>
  <si>
    <t>判定状态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</si>
</sst>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_ "/>
    <numFmt numFmtId="179" formatCode="0.000_ "/>
    <numFmt numFmtId="180" formatCode="0.0000_ "/>
  </numFmts>
  <fonts count="1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0"/>
      <name val="Arial"/>
      <family val="2"/>
    </font>
    <font>
      <b/>
      <sz val="11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55">
    <xf numFmtId="0" fontId="0" fillId="0" borderId="0" xfId="0"/>
    <xf numFmtId="0" fontId="10" fillId="0" borderId="0" xfId="1" applyAlignment="1">
      <alignment horizontal="center" vertical="center"/>
    </xf>
    <xf numFmtId="0" fontId="1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8" fontId="2" fillId="0" borderId="6" xfId="1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179" fontId="3" fillId="0" borderId="6" xfId="1" applyNumberFormat="1" applyFont="1" applyBorder="1" applyAlignment="1" applyProtection="1">
      <alignment horizontal="center" vertical="center" shrinkToFit="1"/>
      <protection locked="0"/>
    </xf>
    <xf numFmtId="0" fontId="2" fillId="0" borderId="6" xfId="1" applyFont="1" applyBorder="1" applyAlignment="1">
      <alignment horizontal="center" vertical="center" wrapText="1"/>
    </xf>
    <xf numFmtId="179" fontId="2" fillId="0" borderId="6" xfId="1" applyNumberFormat="1" applyFont="1" applyBorder="1" applyAlignment="1">
      <alignment horizontal="center" vertical="center" wrapText="1"/>
    </xf>
    <xf numFmtId="180" fontId="2" fillId="0" borderId="6" xfId="1" applyNumberFormat="1" applyFont="1" applyBorder="1" applyAlignment="1">
      <alignment horizontal="center" vertical="center" wrapText="1"/>
    </xf>
    <xf numFmtId="180" fontId="2" fillId="0" borderId="6" xfId="1" applyNumberFormat="1" applyFont="1" applyBorder="1" applyAlignment="1">
      <alignment horizontal="center" vertical="center"/>
    </xf>
    <xf numFmtId="179" fontId="2" fillId="0" borderId="6" xfId="1" applyNumberFormat="1" applyFont="1" applyBorder="1" applyAlignment="1">
      <alignment horizontal="center" vertical="center"/>
    </xf>
    <xf numFmtId="0" fontId="10" fillId="0" borderId="6" xfId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179" fontId="4" fillId="0" borderId="0" xfId="1" applyNumberFormat="1" applyFont="1" applyAlignment="1">
      <alignment horizontal="center" vertical="center"/>
    </xf>
    <xf numFmtId="179" fontId="2" fillId="0" borderId="0" xfId="1" applyNumberFormat="1" applyFont="1" applyAlignment="1">
      <alignment vertical="center" wrapText="1"/>
    </xf>
    <xf numFmtId="179" fontId="10" fillId="0" borderId="0" xfId="1" applyNumberFormat="1" applyAlignment="1">
      <alignment horizontal="center" vertical="center"/>
    </xf>
    <xf numFmtId="179" fontId="5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179" fontId="7" fillId="0" borderId="6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79" fontId="2" fillId="2" borderId="6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3" xfId="1" xr:uid="{00000000-0005-0000-0000-000031000000}"/>
  </cellStyles>
  <dxfs count="7"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"/>
  <sheetViews>
    <sheetView tabSelected="1" zoomScale="85" zoomScaleNormal="85" zoomScaleSheetLayoutView="70" zoomScalePageLayoutView="55" workbookViewId="0">
      <selection activeCell="P7" sqref="P7"/>
    </sheetView>
  </sheetViews>
  <sheetFormatPr defaultColWidth="9" defaultRowHeight="30.75" customHeight="1"/>
  <cols>
    <col min="1" max="7" width="8.6640625" style="22" customWidth="1"/>
    <col min="8" max="13" width="10.6640625" style="22" customWidth="1"/>
    <col min="14" max="16384" width="9" style="22"/>
  </cols>
  <sheetData>
    <row r="1" spans="1:13" ht="30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13" ht="30" customHeight="1">
      <c r="A2" s="38" t="s">
        <v>1</v>
      </c>
      <c r="B2" s="40"/>
      <c r="C2" s="41"/>
      <c r="D2" s="42"/>
      <c r="E2" s="42"/>
      <c r="F2" s="43"/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38" t="s">
        <v>7</v>
      </c>
      <c r="M2" s="40"/>
    </row>
    <row r="3" spans="1:13" ht="30" customHeight="1">
      <c r="A3" s="38" t="s">
        <v>8</v>
      </c>
      <c r="B3" s="40"/>
      <c r="C3" s="41"/>
      <c r="D3" s="42"/>
      <c r="E3" s="42"/>
      <c r="F3" s="43"/>
      <c r="G3" s="6" t="s">
        <v>9</v>
      </c>
      <c r="H3" s="6"/>
      <c r="I3" s="6"/>
      <c r="J3" s="6"/>
      <c r="K3" s="6"/>
      <c r="L3" s="38"/>
      <c r="M3" s="40"/>
    </row>
    <row r="4" spans="1:13" ht="30" customHeight="1">
      <c r="A4" s="38" t="s">
        <v>10</v>
      </c>
      <c r="B4" s="38" t="s">
        <v>11</v>
      </c>
      <c r="C4" s="38" t="s">
        <v>12</v>
      </c>
      <c r="D4" s="38" t="s">
        <v>13</v>
      </c>
      <c r="E4" s="48" t="s">
        <v>14</v>
      </c>
      <c r="F4" s="50" t="s">
        <v>15</v>
      </c>
      <c r="G4" s="38" t="s">
        <v>16</v>
      </c>
      <c r="H4" s="44" t="s">
        <v>17</v>
      </c>
      <c r="I4" s="45"/>
      <c r="J4" s="45"/>
      <c r="K4" s="45"/>
      <c r="L4" s="45"/>
      <c r="M4" s="51" t="s">
        <v>18</v>
      </c>
    </row>
    <row r="5" spans="1:13" ht="30" customHeight="1">
      <c r="A5" s="47"/>
      <c r="B5" s="47"/>
      <c r="C5" s="47"/>
      <c r="D5" s="47"/>
      <c r="E5" s="49"/>
      <c r="F5" s="47"/>
      <c r="G5" s="47"/>
      <c r="H5" s="23" t="s">
        <v>19</v>
      </c>
      <c r="I5" s="24" t="s">
        <v>20</v>
      </c>
      <c r="J5" s="24" t="s">
        <v>21</v>
      </c>
      <c r="K5" s="24" t="s">
        <v>22</v>
      </c>
      <c r="L5" s="24" t="s">
        <v>23</v>
      </c>
      <c r="M5" s="52"/>
    </row>
    <row r="6" spans="1:13" ht="30" customHeight="1">
      <c r="A6" s="6" t="s">
        <v>24</v>
      </c>
      <c r="B6" s="6"/>
      <c r="C6" s="6"/>
      <c r="D6" s="6"/>
      <c r="E6" s="6">
        <f>B6+C6</f>
        <v>0</v>
      </c>
      <c r="F6" s="6">
        <f>B6+D6</f>
        <v>0</v>
      </c>
      <c r="G6" s="6"/>
      <c r="H6" s="8"/>
      <c r="I6" s="8"/>
      <c r="J6" s="8"/>
      <c r="K6" s="8"/>
      <c r="L6" s="8"/>
      <c r="M6" s="24"/>
    </row>
    <row r="7" spans="1:13" ht="30" customHeight="1">
      <c r="A7" s="6" t="s">
        <v>25</v>
      </c>
      <c r="B7" s="6"/>
      <c r="C7" s="6"/>
      <c r="D7" s="6"/>
      <c r="E7" s="6">
        <f t="shared" ref="E7:E30" si="0">B7+C7</f>
        <v>0</v>
      </c>
      <c r="F7" s="6">
        <f t="shared" ref="F7:F30" si="1">B7+D7</f>
        <v>0</v>
      </c>
      <c r="G7" s="6"/>
      <c r="H7" s="8"/>
      <c r="I7" s="8"/>
      <c r="J7" s="8"/>
      <c r="K7" s="8"/>
      <c r="L7" s="8"/>
      <c r="M7" s="24"/>
    </row>
    <row r="8" spans="1:13" ht="30" customHeight="1">
      <c r="A8" s="6" t="s">
        <v>26</v>
      </c>
      <c r="B8" s="6"/>
      <c r="C8" s="6"/>
      <c r="D8" s="6"/>
      <c r="E8" s="6">
        <f t="shared" si="0"/>
        <v>0</v>
      </c>
      <c r="F8" s="6">
        <f t="shared" si="1"/>
        <v>0</v>
      </c>
      <c r="G8" s="6"/>
      <c r="H8" s="8"/>
      <c r="I8" s="8"/>
      <c r="J8" s="8"/>
      <c r="K8" s="8"/>
      <c r="L8" s="8"/>
      <c r="M8" s="24"/>
    </row>
    <row r="9" spans="1:13" ht="30" customHeight="1">
      <c r="A9" s="6" t="s">
        <v>27</v>
      </c>
      <c r="B9" s="6"/>
      <c r="C9" s="6"/>
      <c r="D9" s="6"/>
      <c r="E9" s="6">
        <f t="shared" si="0"/>
        <v>0</v>
      </c>
      <c r="F9" s="6">
        <f t="shared" si="1"/>
        <v>0</v>
      </c>
      <c r="G9" s="6"/>
      <c r="H9" s="8"/>
      <c r="I9" s="8"/>
      <c r="J9" s="8"/>
      <c r="K9" s="8"/>
      <c r="L9" s="8"/>
      <c r="M9" s="24"/>
    </row>
    <row r="10" spans="1:13" ht="30" customHeight="1">
      <c r="A10" s="6" t="s">
        <v>28</v>
      </c>
      <c r="B10" s="6"/>
      <c r="C10" s="6"/>
      <c r="D10" s="6"/>
      <c r="E10" s="6">
        <f t="shared" si="0"/>
        <v>0</v>
      </c>
      <c r="F10" s="6">
        <f t="shared" si="1"/>
        <v>0</v>
      </c>
      <c r="G10" s="6"/>
      <c r="H10" s="8"/>
      <c r="I10" s="8"/>
      <c r="J10" s="8"/>
      <c r="K10" s="8"/>
      <c r="L10" s="8"/>
      <c r="M10" s="24"/>
    </row>
    <row r="11" spans="1:13" ht="30" customHeight="1">
      <c r="A11" s="6" t="s">
        <v>29</v>
      </c>
      <c r="B11" s="6"/>
      <c r="C11" s="6"/>
      <c r="D11" s="6"/>
      <c r="E11" s="6">
        <f t="shared" si="0"/>
        <v>0</v>
      </c>
      <c r="F11" s="6">
        <f t="shared" si="1"/>
        <v>0</v>
      </c>
      <c r="G11" s="6"/>
      <c r="H11" s="8"/>
      <c r="I11" s="8"/>
      <c r="J11" s="8"/>
      <c r="K11" s="8"/>
      <c r="L11" s="8"/>
      <c r="M11" s="24"/>
    </row>
    <row r="12" spans="1:13" ht="30" customHeight="1">
      <c r="A12" s="6" t="s">
        <v>30</v>
      </c>
      <c r="B12" s="6"/>
      <c r="C12" s="6"/>
      <c r="D12" s="6"/>
      <c r="E12" s="6">
        <f t="shared" si="0"/>
        <v>0</v>
      </c>
      <c r="F12" s="6">
        <f t="shared" si="1"/>
        <v>0</v>
      </c>
      <c r="G12" s="6"/>
      <c r="H12" s="8"/>
      <c r="I12" s="8"/>
      <c r="J12" s="8"/>
      <c r="K12" s="8"/>
      <c r="L12" s="8"/>
      <c r="M12" s="24"/>
    </row>
    <row r="13" spans="1:13" ht="30" customHeight="1">
      <c r="A13" s="6" t="s">
        <v>31</v>
      </c>
      <c r="B13" s="6"/>
      <c r="C13" s="6"/>
      <c r="D13" s="6"/>
      <c r="E13" s="6">
        <f t="shared" si="0"/>
        <v>0</v>
      </c>
      <c r="F13" s="6">
        <f t="shared" si="1"/>
        <v>0</v>
      </c>
      <c r="G13" s="6"/>
      <c r="H13" s="8"/>
      <c r="I13" s="8"/>
      <c r="J13" s="8"/>
      <c r="K13" s="8"/>
      <c r="L13" s="8"/>
      <c r="M13" s="24"/>
    </row>
    <row r="14" spans="1:13" ht="30" customHeight="1">
      <c r="A14" s="6" t="s">
        <v>32</v>
      </c>
      <c r="B14" s="6"/>
      <c r="C14" s="6"/>
      <c r="D14" s="6"/>
      <c r="E14" s="6">
        <f t="shared" si="0"/>
        <v>0</v>
      </c>
      <c r="F14" s="6">
        <f t="shared" si="1"/>
        <v>0</v>
      </c>
      <c r="G14" s="6"/>
      <c r="H14" s="8"/>
      <c r="I14" s="8"/>
      <c r="J14" s="8"/>
      <c r="K14" s="8"/>
      <c r="L14" s="8"/>
      <c r="M14" s="24"/>
    </row>
    <row r="15" spans="1:13" ht="30" customHeight="1">
      <c r="A15" s="6" t="s">
        <v>33</v>
      </c>
      <c r="B15" s="6"/>
      <c r="C15" s="6"/>
      <c r="D15" s="6"/>
      <c r="E15" s="6">
        <f t="shared" si="0"/>
        <v>0</v>
      </c>
      <c r="F15" s="6">
        <f t="shared" si="1"/>
        <v>0</v>
      </c>
      <c r="G15" s="6"/>
      <c r="H15" s="8"/>
      <c r="I15" s="8"/>
      <c r="J15" s="8"/>
      <c r="K15" s="8"/>
      <c r="L15" s="8"/>
      <c r="M15" s="24"/>
    </row>
    <row r="16" spans="1:13" ht="30" customHeight="1">
      <c r="A16" s="6" t="s">
        <v>34</v>
      </c>
      <c r="B16" s="6"/>
      <c r="C16" s="6"/>
      <c r="D16" s="6"/>
      <c r="E16" s="6">
        <f t="shared" si="0"/>
        <v>0</v>
      </c>
      <c r="F16" s="6">
        <f t="shared" si="1"/>
        <v>0</v>
      </c>
      <c r="G16" s="6"/>
      <c r="H16" s="8"/>
      <c r="I16" s="8"/>
      <c r="J16" s="8"/>
      <c r="K16" s="8"/>
      <c r="L16" s="8"/>
      <c r="M16" s="24"/>
    </row>
    <row r="17" spans="1:13" ht="30" customHeight="1">
      <c r="A17" s="6" t="s">
        <v>35</v>
      </c>
      <c r="B17" s="6"/>
      <c r="C17" s="6"/>
      <c r="D17" s="6"/>
      <c r="E17" s="6">
        <f t="shared" si="0"/>
        <v>0</v>
      </c>
      <c r="F17" s="6">
        <f t="shared" si="1"/>
        <v>0</v>
      </c>
      <c r="G17" s="6"/>
      <c r="H17" s="8"/>
      <c r="I17" s="8"/>
      <c r="J17" s="8"/>
      <c r="K17" s="8"/>
      <c r="L17" s="8"/>
      <c r="M17" s="24"/>
    </row>
    <row r="18" spans="1:13" ht="30" customHeight="1">
      <c r="A18" s="6" t="s">
        <v>36</v>
      </c>
      <c r="B18" s="6"/>
      <c r="C18" s="6"/>
      <c r="D18" s="6"/>
      <c r="E18" s="6">
        <f t="shared" si="0"/>
        <v>0</v>
      </c>
      <c r="F18" s="6">
        <f t="shared" si="1"/>
        <v>0</v>
      </c>
      <c r="G18" s="6"/>
      <c r="H18" s="8"/>
      <c r="I18" s="8"/>
      <c r="J18" s="8"/>
      <c r="K18" s="8"/>
      <c r="L18" s="8"/>
      <c r="M18" s="24"/>
    </row>
    <row r="19" spans="1:13" ht="30" customHeight="1">
      <c r="A19" s="6" t="s">
        <v>37</v>
      </c>
      <c r="B19" s="6"/>
      <c r="C19" s="6"/>
      <c r="D19" s="6"/>
      <c r="E19" s="6">
        <f t="shared" si="0"/>
        <v>0</v>
      </c>
      <c r="F19" s="6">
        <f t="shared" si="1"/>
        <v>0</v>
      </c>
      <c r="G19" s="6"/>
      <c r="H19" s="8"/>
      <c r="I19" s="8"/>
      <c r="J19" s="8"/>
      <c r="K19" s="8"/>
      <c r="L19" s="8"/>
      <c r="M19" s="24"/>
    </row>
    <row r="20" spans="1:13" ht="30" customHeight="1">
      <c r="A20" s="6" t="s">
        <v>38</v>
      </c>
      <c r="B20" s="6"/>
      <c r="C20" s="6"/>
      <c r="D20" s="6"/>
      <c r="E20" s="6">
        <f t="shared" si="0"/>
        <v>0</v>
      </c>
      <c r="F20" s="6">
        <f t="shared" si="1"/>
        <v>0</v>
      </c>
      <c r="G20" s="6"/>
      <c r="H20" s="8"/>
      <c r="I20" s="8"/>
      <c r="J20" s="8"/>
      <c r="K20" s="8"/>
      <c r="L20" s="8"/>
      <c r="M20" s="24"/>
    </row>
    <row r="21" spans="1:13" ht="30" customHeight="1">
      <c r="A21" s="6" t="s">
        <v>39</v>
      </c>
      <c r="B21" s="6"/>
      <c r="C21" s="6"/>
      <c r="D21" s="6"/>
      <c r="E21" s="6">
        <f t="shared" si="0"/>
        <v>0</v>
      </c>
      <c r="F21" s="6">
        <f t="shared" si="1"/>
        <v>0</v>
      </c>
      <c r="G21" s="6"/>
      <c r="H21" s="8"/>
      <c r="I21" s="8"/>
      <c r="J21" s="8"/>
      <c r="K21" s="8"/>
      <c r="L21" s="8"/>
      <c r="M21" s="24"/>
    </row>
    <row r="22" spans="1:13" ht="30" customHeight="1">
      <c r="A22" s="6" t="s">
        <v>40</v>
      </c>
      <c r="B22" s="6"/>
      <c r="C22" s="6"/>
      <c r="D22" s="6"/>
      <c r="E22" s="6">
        <f t="shared" si="0"/>
        <v>0</v>
      </c>
      <c r="F22" s="6">
        <f t="shared" si="1"/>
        <v>0</v>
      </c>
      <c r="G22" s="6"/>
      <c r="H22" s="8"/>
      <c r="I22" s="8"/>
      <c r="J22" s="8"/>
      <c r="K22" s="8"/>
      <c r="L22" s="8"/>
      <c r="M22" s="24"/>
    </row>
    <row r="23" spans="1:13" ht="30" customHeight="1">
      <c r="A23" s="6" t="s">
        <v>41</v>
      </c>
      <c r="B23" s="6"/>
      <c r="C23" s="6"/>
      <c r="D23" s="6"/>
      <c r="E23" s="6">
        <f t="shared" si="0"/>
        <v>0</v>
      </c>
      <c r="F23" s="6">
        <f t="shared" si="1"/>
        <v>0</v>
      </c>
      <c r="G23" s="6"/>
      <c r="H23" s="8"/>
      <c r="I23" s="8"/>
      <c r="J23" s="8"/>
      <c r="K23" s="8"/>
      <c r="L23" s="8"/>
      <c r="M23" s="24"/>
    </row>
    <row r="24" spans="1:13" ht="30" customHeight="1">
      <c r="A24" s="6" t="s">
        <v>42</v>
      </c>
      <c r="B24" s="6"/>
      <c r="C24" s="6"/>
      <c r="D24" s="6"/>
      <c r="E24" s="6">
        <f t="shared" si="0"/>
        <v>0</v>
      </c>
      <c r="F24" s="6">
        <f t="shared" si="1"/>
        <v>0</v>
      </c>
      <c r="G24" s="6"/>
      <c r="H24" s="8"/>
      <c r="I24" s="8"/>
      <c r="J24" s="8"/>
      <c r="K24" s="8"/>
      <c r="L24" s="8"/>
      <c r="M24" s="24"/>
    </row>
    <row r="25" spans="1:13" ht="30" customHeight="1">
      <c r="A25" s="6" t="s">
        <v>43</v>
      </c>
      <c r="B25" s="6"/>
      <c r="C25" s="6"/>
      <c r="D25" s="6"/>
      <c r="E25" s="6">
        <f t="shared" si="0"/>
        <v>0</v>
      </c>
      <c r="F25" s="6">
        <f t="shared" si="1"/>
        <v>0</v>
      </c>
      <c r="G25" s="6"/>
      <c r="H25" s="8"/>
      <c r="I25" s="8"/>
      <c r="J25" s="8"/>
      <c r="K25" s="8"/>
      <c r="L25" s="8"/>
      <c r="M25" s="24"/>
    </row>
    <row r="26" spans="1:13" ht="30" customHeight="1">
      <c r="A26" s="6">
        <v>21.1</v>
      </c>
      <c r="B26" s="6"/>
      <c r="C26" s="6"/>
      <c r="D26" s="6"/>
      <c r="E26" s="6">
        <f t="shared" si="0"/>
        <v>0</v>
      </c>
      <c r="F26" s="6">
        <f t="shared" si="1"/>
        <v>0</v>
      </c>
      <c r="G26" s="6"/>
      <c r="H26" s="8"/>
      <c r="I26" s="8"/>
      <c r="J26" s="8"/>
      <c r="K26" s="8"/>
      <c r="L26" s="8"/>
      <c r="M26" s="24"/>
    </row>
    <row r="27" spans="1:13" ht="30" customHeight="1">
      <c r="A27" s="6">
        <v>21.2</v>
      </c>
      <c r="B27" s="6"/>
      <c r="C27" s="6"/>
      <c r="D27" s="6"/>
      <c r="E27" s="6">
        <f t="shared" si="0"/>
        <v>0</v>
      </c>
      <c r="F27" s="6">
        <f t="shared" si="1"/>
        <v>0</v>
      </c>
      <c r="G27" s="6"/>
      <c r="H27" s="8"/>
      <c r="I27" s="8"/>
      <c r="J27" s="8"/>
      <c r="K27" s="8"/>
      <c r="L27" s="8"/>
      <c r="M27" s="24"/>
    </row>
    <row r="28" spans="1:13" ht="30" customHeight="1">
      <c r="A28" s="6">
        <v>22</v>
      </c>
      <c r="B28" s="6"/>
      <c r="C28" s="6"/>
      <c r="D28" s="6"/>
      <c r="E28" s="6">
        <f t="shared" si="0"/>
        <v>0</v>
      </c>
      <c r="F28" s="6">
        <f t="shared" si="1"/>
        <v>0</v>
      </c>
      <c r="G28" s="6"/>
      <c r="H28" s="8"/>
      <c r="I28" s="8"/>
      <c r="J28" s="8"/>
      <c r="K28" s="8"/>
      <c r="L28" s="8"/>
      <c r="M28" s="24"/>
    </row>
    <row r="29" spans="1:13" ht="30" customHeight="1">
      <c r="A29" s="6">
        <v>23</v>
      </c>
      <c r="B29" s="6"/>
      <c r="C29" s="6"/>
      <c r="D29" s="6"/>
      <c r="E29" s="6">
        <f t="shared" si="0"/>
        <v>0</v>
      </c>
      <c r="F29" s="6">
        <f t="shared" si="1"/>
        <v>0</v>
      </c>
      <c r="G29" s="6"/>
      <c r="H29" s="8"/>
      <c r="I29" s="8"/>
      <c r="J29" s="8"/>
      <c r="K29" s="8"/>
      <c r="L29" s="8"/>
      <c r="M29" s="24"/>
    </row>
    <row r="30" spans="1:13" ht="30" customHeight="1">
      <c r="A30" s="6">
        <v>24</v>
      </c>
      <c r="B30" s="6"/>
      <c r="C30" s="6"/>
      <c r="D30" s="6"/>
      <c r="E30" s="6">
        <f t="shared" si="0"/>
        <v>0</v>
      </c>
      <c r="F30" s="6">
        <f t="shared" si="1"/>
        <v>0</v>
      </c>
      <c r="G30" s="6"/>
      <c r="H30" s="8"/>
      <c r="I30" s="8"/>
      <c r="J30" s="8"/>
      <c r="K30" s="8"/>
      <c r="L30" s="8"/>
      <c r="M30" s="24"/>
    </row>
    <row r="31" spans="1:13" ht="30" customHeight="1">
      <c r="A31" s="46" t="s">
        <v>44</v>
      </c>
      <c r="B31" s="46"/>
      <c r="C31" s="46"/>
      <c r="D31" s="46"/>
      <c r="E31" s="46"/>
      <c r="F31" s="46"/>
      <c r="G31" s="46"/>
      <c r="H31" s="25"/>
      <c r="I31" s="26"/>
      <c r="J31" s="26"/>
      <c r="K31" s="26"/>
      <c r="L31" s="26"/>
      <c r="M31" s="26"/>
    </row>
    <row r="32" spans="1:13" ht="30" customHeight="1">
      <c r="A32" s="53" t="s">
        <v>45</v>
      </c>
      <c r="B32" s="53"/>
      <c r="C32" s="53"/>
      <c r="D32" s="53"/>
      <c r="E32" s="53"/>
      <c r="F32" s="54"/>
      <c r="G32" s="54"/>
      <c r="H32" s="53"/>
      <c r="I32" s="53"/>
      <c r="J32" s="53"/>
      <c r="K32" s="53"/>
      <c r="L32" s="53"/>
      <c r="M32" s="53"/>
    </row>
    <row r="33" spans="1:13" ht="30" customHeight="1">
      <c r="A33" s="53"/>
      <c r="B33" s="53"/>
      <c r="C33" s="53"/>
      <c r="D33" s="53"/>
      <c r="E33" s="53"/>
      <c r="F33" s="54"/>
      <c r="G33" s="54"/>
      <c r="H33" s="53"/>
      <c r="I33" s="53"/>
      <c r="J33" s="53"/>
      <c r="K33" s="53"/>
      <c r="L33" s="53"/>
      <c r="M33" s="53"/>
    </row>
    <row r="34" spans="1:13" ht="30.75" customHeight="1">
      <c r="A34" s="27"/>
      <c r="B34" s="27"/>
      <c r="C34" s="27"/>
      <c r="D34" s="27"/>
      <c r="E34" s="27"/>
      <c r="F34" s="28"/>
      <c r="G34" s="28"/>
      <c r="H34" s="27"/>
      <c r="I34" s="27"/>
      <c r="J34" s="29"/>
      <c r="K34" s="29"/>
    </row>
  </sheetData>
  <mergeCells count="18">
    <mergeCell ref="M4:M5"/>
    <mergeCell ref="A32:M33"/>
    <mergeCell ref="H4:L4"/>
    <mergeCell ref="A31:G31"/>
    <mergeCell ref="A4:A5"/>
    <mergeCell ref="B4:B5"/>
    <mergeCell ref="C4:C5"/>
    <mergeCell ref="D4:D5"/>
    <mergeCell ref="E4:E5"/>
    <mergeCell ref="F4:F5"/>
    <mergeCell ref="G4:G5"/>
    <mergeCell ref="A1:M1"/>
    <mergeCell ref="A2:B2"/>
    <mergeCell ref="C2:F2"/>
    <mergeCell ref="L2:M2"/>
    <mergeCell ref="A3:B3"/>
    <mergeCell ref="C3:F3"/>
    <mergeCell ref="L3:M3"/>
  </mergeCells>
  <phoneticPr fontId="11" type="noConversion"/>
  <conditionalFormatting sqref="H6:L1048576">
    <cfRule type="expression" dxfId="6" priority="1">
      <formula>OR(NOT(ISNUMBER(H6)),H6&lt;MIN($E6,$F6),H6&gt;MAX($E6,$F6))</formula>
    </cfRule>
  </conditionalFormatting>
  <printOptions horizontalCentered="1" verticalCentered="1" gridLines="1"/>
  <pageMargins left="0.196850393700787" right="0.196850393700787" top="0.196850393700787" bottom="0.196850393700787" header="0.511811023622047" footer="0.196850393700787"/>
  <pageSetup paperSize="9" scale="81" orientation="portrait" blackAndWhite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31"/>
  <sheetViews>
    <sheetView zoomScale="55" zoomScaleNormal="55" zoomScaleSheetLayoutView="130" zoomScalePageLayoutView="55" workbookViewId="0">
      <selection activeCell="B3" sqref="B3:D12"/>
    </sheetView>
  </sheetViews>
  <sheetFormatPr defaultColWidth="9" defaultRowHeight="30.75" customHeight="1"/>
  <cols>
    <col min="1" max="56" width="8.6640625" style="1" customWidth="1"/>
    <col min="57" max="57" width="11.88671875" style="1" customWidth="1"/>
    <col min="58" max="58" width="10.6640625" style="1" customWidth="1"/>
    <col min="59" max="59" width="11.88671875" style="1" customWidth="1"/>
    <col min="60" max="60" width="14" style="1" customWidth="1"/>
    <col min="61" max="61" width="15.21875" style="1" customWidth="1"/>
    <col min="62" max="62" width="14.6640625" style="1" customWidth="1"/>
    <col min="63" max="63" width="9.21875" style="1" customWidth="1"/>
    <col min="64" max="16384" width="9" style="1"/>
  </cols>
  <sheetData>
    <row r="1" spans="1:63" ht="30" customHeight="1">
      <c r="A1" s="32" t="s">
        <v>10</v>
      </c>
      <c r="B1" s="32" t="s">
        <v>11</v>
      </c>
      <c r="C1" s="32" t="s">
        <v>12</v>
      </c>
      <c r="D1" s="32" t="s">
        <v>13</v>
      </c>
      <c r="E1" s="34" t="s">
        <v>14</v>
      </c>
      <c r="F1" s="36" t="s">
        <v>15</v>
      </c>
      <c r="G1" s="30" t="s">
        <v>17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</row>
    <row r="2" spans="1:63" ht="30" customHeight="1">
      <c r="A2" s="33"/>
      <c r="B2" s="33"/>
      <c r="C2" s="33"/>
      <c r="D2" s="33"/>
      <c r="E2" s="35"/>
      <c r="F2" s="37"/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3">
        <v>7</v>
      </c>
      <c r="N2" s="3">
        <v>8</v>
      </c>
      <c r="O2" s="3">
        <v>9</v>
      </c>
      <c r="P2" s="3">
        <v>10</v>
      </c>
      <c r="Q2" s="3">
        <v>11</v>
      </c>
      <c r="R2" s="3">
        <v>12</v>
      </c>
      <c r="S2" s="3">
        <v>13</v>
      </c>
      <c r="T2" s="3">
        <v>14</v>
      </c>
      <c r="U2" s="3">
        <v>15</v>
      </c>
      <c r="V2" s="3">
        <v>16</v>
      </c>
      <c r="W2" s="3">
        <v>17</v>
      </c>
      <c r="X2" s="3">
        <v>18</v>
      </c>
      <c r="Y2" s="3">
        <v>19</v>
      </c>
      <c r="Z2" s="3">
        <v>20</v>
      </c>
      <c r="AA2" s="3">
        <v>21</v>
      </c>
      <c r="AB2" s="3">
        <v>22</v>
      </c>
      <c r="AC2" s="3">
        <v>23</v>
      </c>
      <c r="AD2" s="3">
        <v>24</v>
      </c>
      <c r="AE2" s="3">
        <v>25</v>
      </c>
      <c r="AF2" s="3">
        <v>26</v>
      </c>
      <c r="AG2" s="3">
        <v>27</v>
      </c>
      <c r="AH2" s="3">
        <v>28</v>
      </c>
      <c r="AI2" s="3">
        <v>29</v>
      </c>
      <c r="AJ2" s="3">
        <v>30</v>
      </c>
      <c r="AK2" s="3">
        <v>31</v>
      </c>
      <c r="AL2" s="3">
        <v>32</v>
      </c>
      <c r="AM2" s="3">
        <v>33</v>
      </c>
      <c r="AN2" s="3">
        <v>34</v>
      </c>
      <c r="AO2" s="3">
        <v>35</v>
      </c>
      <c r="AP2" s="3">
        <v>36</v>
      </c>
      <c r="AQ2" s="3">
        <v>37</v>
      </c>
      <c r="AR2" s="3">
        <v>38</v>
      </c>
      <c r="AS2" s="3">
        <v>39</v>
      </c>
      <c r="AT2" s="3">
        <v>40</v>
      </c>
      <c r="AU2" s="3">
        <v>41</v>
      </c>
      <c r="AV2" s="3">
        <v>42</v>
      </c>
      <c r="AW2" s="3">
        <v>43</v>
      </c>
      <c r="AX2" s="3">
        <v>44</v>
      </c>
      <c r="AY2" s="3">
        <v>45</v>
      </c>
      <c r="AZ2" s="3">
        <v>46</v>
      </c>
      <c r="BA2" s="3">
        <v>47</v>
      </c>
      <c r="BB2" s="3">
        <v>48</v>
      </c>
      <c r="BC2" s="3">
        <v>49</v>
      </c>
      <c r="BD2" s="3">
        <v>50</v>
      </c>
      <c r="BE2" s="4" t="s">
        <v>46</v>
      </c>
      <c r="BF2" s="4" t="s">
        <v>47</v>
      </c>
      <c r="BG2" s="4" t="s">
        <v>48</v>
      </c>
      <c r="BH2" s="4" t="s">
        <v>49</v>
      </c>
      <c r="BI2" s="4" t="s">
        <v>50</v>
      </c>
      <c r="BJ2" s="4" t="s">
        <v>51</v>
      </c>
      <c r="BK2" s="4" t="s">
        <v>52</v>
      </c>
    </row>
    <row r="3" spans="1:63" ht="30" customHeight="1">
      <c r="A3" s="5" t="s">
        <v>24</v>
      </c>
      <c r="B3" s="6"/>
      <c r="C3" s="6"/>
      <c r="D3" s="6"/>
      <c r="E3" s="7">
        <f>SUM(B3+C3)</f>
        <v>0</v>
      </c>
      <c r="F3" s="7">
        <f>SUM(B3+D3)</f>
        <v>0</v>
      </c>
      <c r="G3" s="8"/>
      <c r="H3" s="8"/>
      <c r="I3" s="8"/>
      <c r="J3" s="8"/>
      <c r="K3" s="8"/>
      <c r="L3" s="9"/>
      <c r="M3" s="9"/>
      <c r="N3" s="9"/>
      <c r="O3" s="9"/>
      <c r="P3" s="10"/>
      <c r="Q3" s="10"/>
      <c r="R3" s="10"/>
      <c r="S3" s="10"/>
      <c r="T3" s="10"/>
      <c r="U3" s="10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2" t="e">
        <f>AVERAGE(G3:BD3)</f>
        <v>#DIV/0!</v>
      </c>
      <c r="BF3" s="13" t="e">
        <f>_xlfn.STDEV.S(G3:BD3)</f>
        <v>#DIV/0!</v>
      </c>
      <c r="BG3" s="13" t="e">
        <f>ABS(BE3-(E3+F3)/2)/((E3-F3)/2)</f>
        <v>#DIV/0!</v>
      </c>
      <c r="BH3" s="13" t="e">
        <f>(E3-F3)/(6*BF3)</f>
        <v>#DIV/0!</v>
      </c>
      <c r="BI3" s="13" t="e">
        <f>MIN((E3-BE3)/(3*BF3),(BE3-F3)/(3*BF3))</f>
        <v>#DIV/0!</v>
      </c>
      <c r="BJ3" s="4" t="e">
        <f t="shared" ref="BJ3:BJ26" si="0">IF(BI3&gt;=1.67,"特级(能力过剩)",IF(BI3&gt;=1.33,"1级(能力充分)",IF(BI3&gt;=1,"2级(能力尚可)",IF(BI3&gt;=0.67,"3级(能力不足)","4级(严重不足)"))))</f>
        <v>#DIV/0!</v>
      </c>
      <c r="BK3" s="4" t="e">
        <f>IF(BI3&gt;=1.33,"OK",IF(BI3&gt;=1,"待观察","NG"))</f>
        <v>#DIV/0!</v>
      </c>
    </row>
    <row r="4" spans="1:63" ht="30" customHeight="1">
      <c r="A4" s="5" t="s">
        <v>25</v>
      </c>
      <c r="B4" s="6"/>
      <c r="C4" s="6"/>
      <c r="D4" s="6"/>
      <c r="E4" s="7">
        <f>SUM(B4+C4)</f>
        <v>0</v>
      </c>
      <c r="F4" s="7">
        <f>SUM(B4+D4)</f>
        <v>0</v>
      </c>
      <c r="G4" s="8"/>
      <c r="H4" s="8"/>
      <c r="I4" s="8"/>
      <c r="J4" s="8"/>
      <c r="K4" s="8"/>
      <c r="L4" s="9"/>
      <c r="M4" s="9"/>
      <c r="N4" s="9"/>
      <c r="O4" s="9"/>
      <c r="P4" s="10"/>
      <c r="Q4" s="10"/>
      <c r="R4" s="10"/>
      <c r="S4" s="10"/>
      <c r="T4" s="10"/>
      <c r="U4" s="10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2" t="e">
        <f>AVERAGE(G4:BD4)</f>
        <v>#DIV/0!</v>
      </c>
      <c r="BF4" s="13" t="e">
        <f>_xlfn.STDEV.S(G4:BD4)</f>
        <v>#DIV/0!</v>
      </c>
      <c r="BG4" s="13" t="e">
        <f>ABS(BE4-(E4+F4)/2)/((E4-F4)/2)</f>
        <v>#DIV/0!</v>
      </c>
      <c r="BH4" s="13" t="e">
        <f>(E4-F4)/(6*BF4)</f>
        <v>#DIV/0!</v>
      </c>
      <c r="BI4" s="13" t="e">
        <f>MIN((E4-BE4)/(3*BF4),(BE4-F4)/(3*BF4))</f>
        <v>#DIV/0!</v>
      </c>
      <c r="BJ4" s="4" t="e">
        <f t="shared" si="0"/>
        <v>#DIV/0!</v>
      </c>
      <c r="BK4" s="4" t="e">
        <f>IF(BI4&gt;=1.33,"OK",IF(BI4&gt;=1,"待观察","NG"))</f>
        <v>#DIV/0!</v>
      </c>
    </row>
    <row r="5" spans="1:63" ht="30" customHeight="1">
      <c r="A5" s="5" t="s">
        <v>26</v>
      </c>
      <c r="B5" s="6"/>
      <c r="C5" s="6"/>
      <c r="D5" s="6"/>
      <c r="E5" s="7">
        <f t="shared" ref="E5:E27" si="1">SUM(B5+C5)</f>
        <v>0</v>
      </c>
      <c r="F5" s="7">
        <f t="shared" ref="F5:F27" si="2">SUM(B5+D5)</f>
        <v>0</v>
      </c>
      <c r="G5" s="8"/>
      <c r="H5" s="8"/>
      <c r="I5" s="8"/>
      <c r="J5" s="8"/>
      <c r="K5" s="8"/>
      <c r="L5" s="9"/>
      <c r="M5" s="9"/>
      <c r="N5" s="9"/>
      <c r="O5" s="9"/>
      <c r="P5" s="10"/>
      <c r="Q5" s="10"/>
      <c r="R5" s="10"/>
      <c r="S5" s="10"/>
      <c r="T5" s="10"/>
      <c r="U5" s="10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2" t="e">
        <f t="shared" ref="BE5:BE26" si="3">AVERAGE(G5:P5)</f>
        <v>#DIV/0!</v>
      </c>
      <c r="BF5" s="13" t="e">
        <f t="shared" ref="BF5:BF26" si="4">_xlfn.STDEV.S(G5:P5)</f>
        <v>#DIV/0!</v>
      </c>
      <c r="BG5" s="13" t="e">
        <f t="shared" ref="BG5:BG26" si="5">ABS(BE5-(E5+F5)/2)/((E5-F5)/2)</f>
        <v>#DIV/0!</v>
      </c>
      <c r="BH5" s="13" t="e">
        <f t="shared" ref="BH5:BH26" si="6">(E5-F5)/(6*BF5)</f>
        <v>#DIV/0!</v>
      </c>
      <c r="BI5" s="13" t="e">
        <f t="shared" ref="BI5:BI26" si="7">MIN((E5-BE5)/(3*BF5),(BE5-F5)/(3*BF5))</f>
        <v>#DIV/0!</v>
      </c>
      <c r="BJ5" s="4" t="e">
        <f t="shared" si="0"/>
        <v>#DIV/0!</v>
      </c>
      <c r="BK5" s="4" t="e">
        <f t="shared" ref="BK5:BK26" si="8">IF(BI5&gt;=1.33,"OK",IF(BI5&gt;=1,"待观察","NG"))</f>
        <v>#DIV/0!</v>
      </c>
    </row>
    <row r="6" spans="1:63" ht="30" customHeight="1">
      <c r="A6" s="5" t="s">
        <v>27</v>
      </c>
      <c r="B6" s="6"/>
      <c r="C6" s="6"/>
      <c r="D6" s="6"/>
      <c r="E6" s="7">
        <f t="shared" si="1"/>
        <v>0</v>
      </c>
      <c r="F6" s="7">
        <f t="shared" si="2"/>
        <v>0</v>
      </c>
      <c r="G6" s="8"/>
      <c r="H6" s="8"/>
      <c r="I6" s="8"/>
      <c r="J6" s="8"/>
      <c r="K6" s="8"/>
      <c r="L6" s="9"/>
      <c r="M6" s="9"/>
      <c r="N6" s="9"/>
      <c r="O6" s="9"/>
      <c r="P6" s="10"/>
      <c r="Q6" s="10"/>
      <c r="R6" s="10"/>
      <c r="S6" s="10"/>
      <c r="T6" s="10"/>
      <c r="U6" s="10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2" t="e">
        <f t="shared" si="3"/>
        <v>#DIV/0!</v>
      </c>
      <c r="BF6" s="13" t="e">
        <f t="shared" si="4"/>
        <v>#DIV/0!</v>
      </c>
      <c r="BG6" s="13" t="e">
        <f t="shared" si="5"/>
        <v>#DIV/0!</v>
      </c>
      <c r="BH6" s="13" t="e">
        <f t="shared" si="6"/>
        <v>#DIV/0!</v>
      </c>
      <c r="BI6" s="13" t="e">
        <f t="shared" si="7"/>
        <v>#DIV/0!</v>
      </c>
      <c r="BJ6" s="4" t="e">
        <f t="shared" si="0"/>
        <v>#DIV/0!</v>
      </c>
      <c r="BK6" s="4" t="e">
        <f t="shared" si="8"/>
        <v>#DIV/0!</v>
      </c>
    </row>
    <row r="7" spans="1:63" ht="30" customHeight="1">
      <c r="A7" s="5" t="s">
        <v>28</v>
      </c>
      <c r="B7" s="6"/>
      <c r="C7" s="6"/>
      <c r="D7" s="6"/>
      <c r="E7" s="7">
        <f t="shared" si="1"/>
        <v>0</v>
      </c>
      <c r="F7" s="7">
        <f t="shared" si="2"/>
        <v>0</v>
      </c>
      <c r="G7" s="8"/>
      <c r="H7" s="8"/>
      <c r="I7" s="8"/>
      <c r="J7" s="8"/>
      <c r="K7" s="8"/>
      <c r="L7" s="9"/>
      <c r="M7" s="9"/>
      <c r="N7" s="9"/>
      <c r="O7" s="9"/>
      <c r="P7" s="10"/>
      <c r="Q7" s="10"/>
      <c r="R7" s="10"/>
      <c r="S7" s="10"/>
      <c r="T7" s="10"/>
      <c r="U7" s="10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2" t="e">
        <f t="shared" si="3"/>
        <v>#DIV/0!</v>
      </c>
      <c r="BF7" s="13" t="e">
        <f t="shared" si="4"/>
        <v>#DIV/0!</v>
      </c>
      <c r="BG7" s="13" t="e">
        <f t="shared" si="5"/>
        <v>#DIV/0!</v>
      </c>
      <c r="BH7" s="13" t="e">
        <f t="shared" si="6"/>
        <v>#DIV/0!</v>
      </c>
      <c r="BI7" s="13" t="e">
        <f t="shared" si="7"/>
        <v>#DIV/0!</v>
      </c>
      <c r="BJ7" s="4" t="e">
        <f t="shared" si="0"/>
        <v>#DIV/0!</v>
      </c>
      <c r="BK7" s="4" t="e">
        <f t="shared" si="8"/>
        <v>#DIV/0!</v>
      </c>
    </row>
    <row r="8" spans="1:63" ht="30" customHeight="1">
      <c r="A8" s="5" t="s">
        <v>29</v>
      </c>
      <c r="B8" s="6"/>
      <c r="C8" s="6"/>
      <c r="D8" s="6"/>
      <c r="E8" s="7">
        <f t="shared" si="1"/>
        <v>0</v>
      </c>
      <c r="F8" s="7">
        <f t="shared" si="2"/>
        <v>0</v>
      </c>
      <c r="G8" s="8"/>
      <c r="H8" s="8"/>
      <c r="I8" s="8"/>
      <c r="J8" s="8"/>
      <c r="K8" s="8"/>
      <c r="L8" s="9"/>
      <c r="M8" s="9"/>
      <c r="N8" s="9"/>
      <c r="O8" s="9"/>
      <c r="P8" s="10"/>
      <c r="Q8" s="10"/>
      <c r="R8" s="10"/>
      <c r="S8" s="10"/>
      <c r="T8" s="10"/>
      <c r="U8" s="10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2" t="e">
        <f t="shared" si="3"/>
        <v>#DIV/0!</v>
      </c>
      <c r="BF8" s="13" t="e">
        <f t="shared" si="4"/>
        <v>#DIV/0!</v>
      </c>
      <c r="BG8" s="13" t="e">
        <f t="shared" si="5"/>
        <v>#DIV/0!</v>
      </c>
      <c r="BH8" s="13" t="e">
        <f t="shared" si="6"/>
        <v>#DIV/0!</v>
      </c>
      <c r="BI8" s="13" t="e">
        <f t="shared" si="7"/>
        <v>#DIV/0!</v>
      </c>
      <c r="BJ8" s="4" t="e">
        <f t="shared" si="0"/>
        <v>#DIV/0!</v>
      </c>
      <c r="BK8" s="4" t="e">
        <f t="shared" si="8"/>
        <v>#DIV/0!</v>
      </c>
    </row>
    <row r="9" spans="1:63" ht="30" customHeight="1">
      <c r="A9" s="5" t="s">
        <v>30</v>
      </c>
      <c r="B9" s="6"/>
      <c r="C9" s="6"/>
      <c r="D9" s="6"/>
      <c r="E9" s="7">
        <f t="shared" si="1"/>
        <v>0</v>
      </c>
      <c r="F9" s="7">
        <f t="shared" si="2"/>
        <v>0</v>
      </c>
      <c r="G9" s="8"/>
      <c r="H9" s="8"/>
      <c r="I9" s="8"/>
      <c r="J9" s="8"/>
      <c r="K9" s="8"/>
      <c r="L9" s="9"/>
      <c r="M9" s="9"/>
      <c r="N9" s="9"/>
      <c r="O9" s="9"/>
      <c r="P9" s="10"/>
      <c r="Q9" s="10"/>
      <c r="R9" s="10"/>
      <c r="S9" s="10"/>
      <c r="T9" s="10"/>
      <c r="U9" s="10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2" t="e">
        <f t="shared" si="3"/>
        <v>#DIV/0!</v>
      </c>
      <c r="BF9" s="13" t="e">
        <f t="shared" si="4"/>
        <v>#DIV/0!</v>
      </c>
      <c r="BG9" s="13" t="e">
        <f t="shared" si="5"/>
        <v>#DIV/0!</v>
      </c>
      <c r="BH9" s="13" t="e">
        <f t="shared" si="6"/>
        <v>#DIV/0!</v>
      </c>
      <c r="BI9" s="13" t="e">
        <f t="shared" si="7"/>
        <v>#DIV/0!</v>
      </c>
      <c r="BJ9" s="4" t="e">
        <f t="shared" si="0"/>
        <v>#DIV/0!</v>
      </c>
      <c r="BK9" s="4" t="e">
        <f t="shared" si="8"/>
        <v>#DIV/0!</v>
      </c>
    </row>
    <row r="10" spans="1:63" ht="30" customHeight="1">
      <c r="A10" s="5" t="s">
        <v>31</v>
      </c>
      <c r="B10" s="6"/>
      <c r="C10" s="6"/>
      <c r="D10" s="6"/>
      <c r="E10" s="7">
        <f t="shared" si="1"/>
        <v>0</v>
      </c>
      <c r="F10" s="7">
        <f t="shared" si="2"/>
        <v>0</v>
      </c>
      <c r="G10" s="8"/>
      <c r="H10" s="8"/>
      <c r="I10" s="8"/>
      <c r="J10" s="8"/>
      <c r="K10" s="8"/>
      <c r="L10" s="9"/>
      <c r="M10" s="9"/>
      <c r="N10" s="9"/>
      <c r="O10" s="9"/>
      <c r="P10" s="10"/>
      <c r="Q10" s="10"/>
      <c r="R10" s="10"/>
      <c r="S10" s="10"/>
      <c r="T10" s="10"/>
      <c r="U10" s="10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2" t="e">
        <f t="shared" si="3"/>
        <v>#DIV/0!</v>
      </c>
      <c r="BF10" s="13" t="e">
        <f t="shared" si="4"/>
        <v>#DIV/0!</v>
      </c>
      <c r="BG10" s="13" t="e">
        <f t="shared" si="5"/>
        <v>#DIV/0!</v>
      </c>
      <c r="BH10" s="13" t="e">
        <f t="shared" si="6"/>
        <v>#DIV/0!</v>
      </c>
      <c r="BI10" s="13" t="e">
        <f t="shared" si="7"/>
        <v>#DIV/0!</v>
      </c>
      <c r="BJ10" s="4" t="e">
        <f t="shared" si="0"/>
        <v>#DIV/0!</v>
      </c>
      <c r="BK10" s="4" t="e">
        <f t="shared" si="8"/>
        <v>#DIV/0!</v>
      </c>
    </row>
    <row r="11" spans="1:63" ht="30" customHeight="1">
      <c r="A11" s="5" t="s">
        <v>32</v>
      </c>
      <c r="B11" s="6"/>
      <c r="C11" s="6"/>
      <c r="D11" s="6"/>
      <c r="E11" s="7">
        <f t="shared" si="1"/>
        <v>0</v>
      </c>
      <c r="F11" s="7">
        <f t="shared" si="2"/>
        <v>0</v>
      </c>
      <c r="G11" s="8"/>
      <c r="H11" s="8"/>
      <c r="I11" s="8"/>
      <c r="J11" s="8"/>
      <c r="K11" s="8"/>
      <c r="L11" s="9"/>
      <c r="M11" s="9"/>
      <c r="N11" s="9"/>
      <c r="O11" s="9"/>
      <c r="P11" s="10"/>
      <c r="Q11" s="10"/>
      <c r="R11" s="10"/>
      <c r="S11" s="10"/>
      <c r="T11" s="10"/>
      <c r="U11" s="10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2" t="e">
        <f t="shared" si="3"/>
        <v>#DIV/0!</v>
      </c>
      <c r="BF11" s="13" t="e">
        <f t="shared" si="4"/>
        <v>#DIV/0!</v>
      </c>
      <c r="BG11" s="13" t="e">
        <f t="shared" si="5"/>
        <v>#DIV/0!</v>
      </c>
      <c r="BH11" s="13" t="e">
        <f t="shared" si="6"/>
        <v>#DIV/0!</v>
      </c>
      <c r="BI11" s="13" t="e">
        <f t="shared" si="7"/>
        <v>#DIV/0!</v>
      </c>
      <c r="BJ11" s="4" t="e">
        <f t="shared" si="0"/>
        <v>#DIV/0!</v>
      </c>
      <c r="BK11" s="4" t="e">
        <f t="shared" si="8"/>
        <v>#DIV/0!</v>
      </c>
    </row>
    <row r="12" spans="1:63" ht="30" customHeight="1">
      <c r="A12" s="5" t="s">
        <v>33</v>
      </c>
      <c r="B12" s="6"/>
      <c r="C12" s="6"/>
      <c r="D12" s="6"/>
      <c r="E12" s="7">
        <f t="shared" si="1"/>
        <v>0</v>
      </c>
      <c r="F12" s="7">
        <f t="shared" si="2"/>
        <v>0</v>
      </c>
      <c r="G12" s="8"/>
      <c r="H12" s="8"/>
      <c r="I12" s="8"/>
      <c r="J12" s="8"/>
      <c r="K12" s="8"/>
      <c r="L12" s="9"/>
      <c r="M12" s="9"/>
      <c r="N12" s="9"/>
      <c r="O12" s="9"/>
      <c r="P12" s="10"/>
      <c r="Q12" s="10"/>
      <c r="R12" s="10"/>
      <c r="S12" s="10"/>
      <c r="T12" s="10"/>
      <c r="U12" s="1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2" t="e">
        <f t="shared" si="3"/>
        <v>#DIV/0!</v>
      </c>
      <c r="BF12" s="13" t="e">
        <f t="shared" si="4"/>
        <v>#DIV/0!</v>
      </c>
      <c r="BG12" s="13" t="e">
        <f t="shared" si="5"/>
        <v>#DIV/0!</v>
      </c>
      <c r="BH12" s="13" t="e">
        <f t="shared" si="6"/>
        <v>#DIV/0!</v>
      </c>
      <c r="BI12" s="13" t="e">
        <f t="shared" si="7"/>
        <v>#DIV/0!</v>
      </c>
      <c r="BJ12" s="4" t="e">
        <f t="shared" si="0"/>
        <v>#DIV/0!</v>
      </c>
      <c r="BK12" s="4" t="e">
        <f t="shared" si="8"/>
        <v>#DIV/0!</v>
      </c>
    </row>
    <row r="13" spans="1:63" ht="30" customHeight="1">
      <c r="A13" s="5" t="s">
        <v>34</v>
      </c>
      <c r="B13" s="6"/>
      <c r="C13" s="6"/>
      <c r="D13" s="6"/>
      <c r="E13" s="7">
        <f t="shared" si="1"/>
        <v>0</v>
      </c>
      <c r="F13" s="7">
        <f t="shared" si="2"/>
        <v>0</v>
      </c>
      <c r="G13" s="8"/>
      <c r="H13" s="8"/>
      <c r="I13" s="8"/>
      <c r="J13" s="8"/>
      <c r="K13" s="8"/>
      <c r="L13" s="10"/>
      <c r="M13" s="14"/>
      <c r="N13" s="11"/>
      <c r="O13" s="11"/>
      <c r="P13" s="10"/>
      <c r="Q13" s="10"/>
      <c r="R13" s="10"/>
      <c r="S13" s="10"/>
      <c r="T13" s="10"/>
      <c r="U13" s="1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2" t="e">
        <f t="shared" si="3"/>
        <v>#DIV/0!</v>
      </c>
      <c r="BF13" s="13" t="e">
        <f t="shared" si="4"/>
        <v>#DIV/0!</v>
      </c>
      <c r="BG13" s="13" t="e">
        <f t="shared" si="5"/>
        <v>#DIV/0!</v>
      </c>
      <c r="BH13" s="13" t="e">
        <f t="shared" si="6"/>
        <v>#DIV/0!</v>
      </c>
      <c r="BI13" s="13" t="e">
        <f t="shared" si="7"/>
        <v>#DIV/0!</v>
      </c>
      <c r="BJ13" s="4" t="e">
        <f t="shared" si="0"/>
        <v>#DIV/0!</v>
      </c>
      <c r="BK13" s="4" t="e">
        <f t="shared" si="8"/>
        <v>#DIV/0!</v>
      </c>
    </row>
    <row r="14" spans="1:63" ht="30" customHeight="1">
      <c r="A14" s="5" t="s">
        <v>35</v>
      </c>
      <c r="B14" s="6"/>
      <c r="C14" s="6"/>
      <c r="D14" s="6"/>
      <c r="E14" s="7">
        <f t="shared" si="1"/>
        <v>0</v>
      </c>
      <c r="F14" s="7">
        <f t="shared" si="2"/>
        <v>0</v>
      </c>
      <c r="G14" s="8"/>
      <c r="H14" s="8"/>
      <c r="I14" s="8"/>
      <c r="J14" s="8"/>
      <c r="K14" s="8"/>
      <c r="L14" s="15"/>
      <c r="M14" s="10"/>
      <c r="N14" s="10"/>
      <c r="O14" s="10"/>
      <c r="P14" s="10"/>
      <c r="Q14" s="10"/>
      <c r="R14" s="10"/>
      <c r="S14" s="10"/>
      <c r="T14" s="10"/>
      <c r="U14" s="10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2" t="e">
        <f t="shared" si="3"/>
        <v>#DIV/0!</v>
      </c>
      <c r="BF14" s="13" t="e">
        <f t="shared" si="4"/>
        <v>#DIV/0!</v>
      </c>
      <c r="BG14" s="13" t="e">
        <f t="shared" si="5"/>
        <v>#DIV/0!</v>
      </c>
      <c r="BH14" s="13" t="e">
        <f t="shared" si="6"/>
        <v>#DIV/0!</v>
      </c>
      <c r="BI14" s="13" t="e">
        <f t="shared" si="7"/>
        <v>#DIV/0!</v>
      </c>
      <c r="BJ14" s="4" t="e">
        <f t="shared" si="0"/>
        <v>#DIV/0!</v>
      </c>
      <c r="BK14" s="4" t="e">
        <f t="shared" si="8"/>
        <v>#DIV/0!</v>
      </c>
    </row>
    <row r="15" spans="1:63" ht="30" customHeight="1">
      <c r="A15" s="5" t="s">
        <v>36</v>
      </c>
      <c r="B15" s="6"/>
      <c r="C15" s="6"/>
      <c r="D15" s="6"/>
      <c r="E15" s="7">
        <f t="shared" si="1"/>
        <v>0</v>
      </c>
      <c r="F15" s="7">
        <f t="shared" si="2"/>
        <v>0</v>
      </c>
      <c r="G15" s="8"/>
      <c r="H15" s="8"/>
      <c r="I15" s="8"/>
      <c r="J15" s="8"/>
      <c r="K15" s="8"/>
      <c r="L15" s="15"/>
      <c r="M15" s="10"/>
      <c r="N15" s="10"/>
      <c r="O15" s="10"/>
      <c r="P15" s="10"/>
      <c r="Q15" s="10"/>
      <c r="R15" s="10"/>
      <c r="S15" s="10"/>
      <c r="T15" s="10"/>
      <c r="U15" s="10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2" t="e">
        <f t="shared" si="3"/>
        <v>#DIV/0!</v>
      </c>
      <c r="BF15" s="13" t="e">
        <f t="shared" si="4"/>
        <v>#DIV/0!</v>
      </c>
      <c r="BG15" s="13" t="e">
        <f t="shared" si="5"/>
        <v>#DIV/0!</v>
      </c>
      <c r="BH15" s="13" t="e">
        <f t="shared" si="6"/>
        <v>#DIV/0!</v>
      </c>
      <c r="BI15" s="13" t="e">
        <f t="shared" si="7"/>
        <v>#DIV/0!</v>
      </c>
      <c r="BJ15" s="4" t="e">
        <f t="shared" si="0"/>
        <v>#DIV/0!</v>
      </c>
      <c r="BK15" s="4" t="e">
        <f t="shared" si="8"/>
        <v>#DIV/0!</v>
      </c>
    </row>
    <row r="16" spans="1:63" ht="30" customHeight="1">
      <c r="A16" s="5" t="s">
        <v>37</v>
      </c>
      <c r="B16" s="6"/>
      <c r="C16" s="6"/>
      <c r="D16" s="6"/>
      <c r="E16" s="7">
        <f t="shared" si="1"/>
        <v>0</v>
      </c>
      <c r="F16" s="7">
        <f t="shared" si="2"/>
        <v>0</v>
      </c>
      <c r="G16" s="8"/>
      <c r="H16" s="8"/>
      <c r="I16" s="8"/>
      <c r="J16" s="8"/>
      <c r="K16" s="8"/>
      <c r="L16" s="15"/>
      <c r="M16" s="10"/>
      <c r="N16" s="10"/>
      <c r="O16" s="10"/>
      <c r="P16" s="10"/>
      <c r="Q16" s="10"/>
      <c r="R16" s="10"/>
      <c r="S16" s="10"/>
      <c r="T16" s="10"/>
      <c r="U16" s="10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2" t="e">
        <f t="shared" si="3"/>
        <v>#DIV/0!</v>
      </c>
      <c r="BF16" s="13" t="e">
        <f t="shared" si="4"/>
        <v>#DIV/0!</v>
      </c>
      <c r="BG16" s="13" t="e">
        <f t="shared" si="5"/>
        <v>#DIV/0!</v>
      </c>
      <c r="BH16" s="13" t="e">
        <f t="shared" si="6"/>
        <v>#DIV/0!</v>
      </c>
      <c r="BI16" s="13" t="e">
        <f t="shared" si="7"/>
        <v>#DIV/0!</v>
      </c>
      <c r="BJ16" s="4" t="e">
        <f t="shared" si="0"/>
        <v>#DIV/0!</v>
      </c>
      <c r="BK16" s="4" t="e">
        <f t="shared" si="8"/>
        <v>#DIV/0!</v>
      </c>
    </row>
    <row r="17" spans="1:63" ht="30" customHeight="1">
      <c r="A17" s="5" t="s">
        <v>38</v>
      </c>
      <c r="B17" s="6"/>
      <c r="C17" s="6"/>
      <c r="D17" s="6"/>
      <c r="E17" s="7">
        <f t="shared" si="1"/>
        <v>0</v>
      </c>
      <c r="F17" s="7">
        <f t="shared" si="2"/>
        <v>0</v>
      </c>
      <c r="G17" s="8"/>
      <c r="H17" s="8"/>
      <c r="I17" s="8"/>
      <c r="J17" s="8"/>
      <c r="K17" s="8"/>
      <c r="L17" s="15"/>
      <c r="M17" s="10"/>
      <c r="N17" s="10"/>
      <c r="O17" s="10"/>
      <c r="P17" s="10"/>
      <c r="Q17" s="10"/>
      <c r="R17" s="10"/>
      <c r="S17" s="10"/>
      <c r="T17" s="10"/>
      <c r="U17" s="10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2" t="e">
        <f t="shared" si="3"/>
        <v>#DIV/0!</v>
      </c>
      <c r="BF17" s="13" t="e">
        <f t="shared" si="4"/>
        <v>#DIV/0!</v>
      </c>
      <c r="BG17" s="13" t="e">
        <f t="shared" si="5"/>
        <v>#DIV/0!</v>
      </c>
      <c r="BH17" s="13" t="e">
        <f t="shared" si="6"/>
        <v>#DIV/0!</v>
      </c>
      <c r="BI17" s="13" t="e">
        <f t="shared" si="7"/>
        <v>#DIV/0!</v>
      </c>
      <c r="BJ17" s="4" t="e">
        <f t="shared" si="0"/>
        <v>#DIV/0!</v>
      </c>
      <c r="BK17" s="4" t="e">
        <f t="shared" si="8"/>
        <v>#DIV/0!</v>
      </c>
    </row>
    <row r="18" spans="1:63" ht="30" customHeight="1">
      <c r="A18" s="5" t="s">
        <v>39</v>
      </c>
      <c r="B18" s="6"/>
      <c r="C18" s="6"/>
      <c r="D18" s="6"/>
      <c r="E18" s="7">
        <f t="shared" si="1"/>
        <v>0</v>
      </c>
      <c r="F18" s="7">
        <f t="shared" si="2"/>
        <v>0</v>
      </c>
      <c r="G18" s="8"/>
      <c r="H18" s="8"/>
      <c r="I18" s="8"/>
      <c r="J18" s="8"/>
      <c r="K18" s="8"/>
      <c r="L18" s="15"/>
      <c r="M18" s="10"/>
      <c r="N18" s="10"/>
      <c r="O18" s="10"/>
      <c r="P18" s="10"/>
      <c r="Q18" s="10"/>
      <c r="R18" s="10"/>
      <c r="S18" s="10"/>
      <c r="T18" s="10"/>
      <c r="U18" s="10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2" t="e">
        <f t="shared" si="3"/>
        <v>#DIV/0!</v>
      </c>
      <c r="BF18" s="13" t="e">
        <f t="shared" si="4"/>
        <v>#DIV/0!</v>
      </c>
      <c r="BG18" s="13" t="e">
        <f t="shared" si="5"/>
        <v>#DIV/0!</v>
      </c>
      <c r="BH18" s="13" t="e">
        <f t="shared" si="6"/>
        <v>#DIV/0!</v>
      </c>
      <c r="BI18" s="13" t="e">
        <f t="shared" si="7"/>
        <v>#DIV/0!</v>
      </c>
      <c r="BJ18" s="4" t="e">
        <f t="shared" si="0"/>
        <v>#DIV/0!</v>
      </c>
      <c r="BK18" s="4" t="e">
        <f t="shared" si="8"/>
        <v>#DIV/0!</v>
      </c>
    </row>
    <row r="19" spans="1:63" ht="30" customHeight="1">
      <c r="A19" s="5" t="s">
        <v>40</v>
      </c>
      <c r="B19" s="5"/>
      <c r="C19" s="5"/>
      <c r="D19" s="5"/>
      <c r="E19" s="7">
        <f t="shared" si="1"/>
        <v>0</v>
      </c>
      <c r="F19" s="7">
        <f t="shared" si="2"/>
        <v>0</v>
      </c>
      <c r="G19" s="11"/>
      <c r="H19" s="11"/>
      <c r="I19" s="11"/>
      <c r="J19" s="11"/>
      <c r="K19" s="11"/>
      <c r="L19" s="15"/>
      <c r="M19" s="10"/>
      <c r="N19" s="10"/>
      <c r="O19" s="10"/>
      <c r="P19" s="10"/>
      <c r="Q19" s="10"/>
      <c r="R19" s="10"/>
      <c r="S19" s="10"/>
      <c r="T19" s="10"/>
      <c r="U19" s="10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2" t="e">
        <f t="shared" si="3"/>
        <v>#DIV/0!</v>
      </c>
      <c r="BF19" s="13" t="e">
        <f t="shared" si="4"/>
        <v>#DIV/0!</v>
      </c>
      <c r="BG19" s="13" t="e">
        <f t="shared" si="5"/>
        <v>#DIV/0!</v>
      </c>
      <c r="BH19" s="13" t="e">
        <f t="shared" si="6"/>
        <v>#DIV/0!</v>
      </c>
      <c r="BI19" s="13" t="e">
        <f t="shared" si="7"/>
        <v>#DIV/0!</v>
      </c>
      <c r="BJ19" s="4" t="e">
        <f t="shared" si="0"/>
        <v>#DIV/0!</v>
      </c>
      <c r="BK19" s="4" t="e">
        <f t="shared" si="8"/>
        <v>#DIV/0!</v>
      </c>
    </row>
    <row r="20" spans="1:63" ht="30" customHeight="1">
      <c r="A20" s="5" t="s">
        <v>41</v>
      </c>
      <c r="B20" s="5"/>
      <c r="C20" s="5"/>
      <c r="D20" s="5"/>
      <c r="E20" s="7">
        <f t="shared" si="1"/>
        <v>0</v>
      </c>
      <c r="F20" s="7">
        <f t="shared" si="2"/>
        <v>0</v>
      </c>
      <c r="G20" s="11"/>
      <c r="H20" s="11"/>
      <c r="I20" s="11"/>
      <c r="J20" s="11"/>
      <c r="K20" s="11"/>
      <c r="L20" s="15"/>
      <c r="M20" s="10"/>
      <c r="N20" s="10"/>
      <c r="O20" s="10"/>
      <c r="P20" s="10"/>
      <c r="Q20" s="10"/>
      <c r="R20" s="10"/>
      <c r="S20" s="10"/>
      <c r="T20" s="10"/>
      <c r="U20" s="10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2" t="e">
        <f t="shared" si="3"/>
        <v>#DIV/0!</v>
      </c>
      <c r="BF20" s="13" t="e">
        <f t="shared" si="4"/>
        <v>#DIV/0!</v>
      </c>
      <c r="BG20" s="13" t="e">
        <f t="shared" si="5"/>
        <v>#DIV/0!</v>
      </c>
      <c r="BH20" s="13" t="e">
        <f t="shared" si="6"/>
        <v>#DIV/0!</v>
      </c>
      <c r="BI20" s="13" t="e">
        <f t="shared" si="7"/>
        <v>#DIV/0!</v>
      </c>
      <c r="BJ20" s="4" t="e">
        <f t="shared" si="0"/>
        <v>#DIV/0!</v>
      </c>
      <c r="BK20" s="4" t="e">
        <f t="shared" si="8"/>
        <v>#DIV/0!</v>
      </c>
    </row>
    <row r="21" spans="1:63" ht="30" customHeight="1">
      <c r="A21" s="5" t="s">
        <v>42</v>
      </c>
      <c r="B21" s="5"/>
      <c r="C21" s="5"/>
      <c r="D21" s="5"/>
      <c r="E21" s="7">
        <f t="shared" si="1"/>
        <v>0</v>
      </c>
      <c r="F21" s="7">
        <f t="shared" si="2"/>
        <v>0</v>
      </c>
      <c r="G21" s="11"/>
      <c r="H21" s="11"/>
      <c r="I21" s="11"/>
      <c r="J21" s="11"/>
      <c r="K21" s="11"/>
      <c r="L21" s="15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2" t="e">
        <f t="shared" si="3"/>
        <v>#DIV/0!</v>
      </c>
      <c r="BF21" s="13" t="e">
        <f t="shared" si="4"/>
        <v>#DIV/0!</v>
      </c>
      <c r="BG21" s="13" t="e">
        <f t="shared" si="5"/>
        <v>#DIV/0!</v>
      </c>
      <c r="BH21" s="13" t="e">
        <f t="shared" si="6"/>
        <v>#DIV/0!</v>
      </c>
      <c r="BI21" s="13" t="e">
        <f t="shared" si="7"/>
        <v>#DIV/0!</v>
      </c>
      <c r="BJ21" s="4" t="e">
        <f t="shared" si="0"/>
        <v>#DIV/0!</v>
      </c>
      <c r="BK21" s="4" t="e">
        <f t="shared" si="8"/>
        <v>#DIV/0!</v>
      </c>
    </row>
    <row r="22" spans="1:63" ht="30" customHeight="1">
      <c r="A22" s="5" t="s">
        <v>43</v>
      </c>
      <c r="B22" s="5"/>
      <c r="C22" s="5"/>
      <c r="D22" s="5"/>
      <c r="E22" s="7">
        <f t="shared" si="1"/>
        <v>0</v>
      </c>
      <c r="F22" s="7">
        <f t="shared" si="2"/>
        <v>0</v>
      </c>
      <c r="G22" s="11"/>
      <c r="H22" s="11"/>
      <c r="I22" s="11"/>
      <c r="J22" s="11"/>
      <c r="K22" s="11"/>
      <c r="L22" s="15"/>
      <c r="M22" s="10"/>
      <c r="N22" s="10"/>
      <c r="O22" s="10"/>
      <c r="P22" s="10"/>
      <c r="Q22" s="10"/>
      <c r="R22" s="10"/>
      <c r="S22" s="10"/>
      <c r="T22" s="10"/>
      <c r="U22" s="10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2" t="e">
        <f t="shared" si="3"/>
        <v>#DIV/0!</v>
      </c>
      <c r="BF22" s="13" t="e">
        <f t="shared" si="4"/>
        <v>#DIV/0!</v>
      </c>
      <c r="BG22" s="13" t="e">
        <f t="shared" si="5"/>
        <v>#DIV/0!</v>
      </c>
      <c r="BH22" s="13" t="e">
        <f t="shared" si="6"/>
        <v>#DIV/0!</v>
      </c>
      <c r="BI22" s="13" t="e">
        <f t="shared" si="7"/>
        <v>#DIV/0!</v>
      </c>
      <c r="BJ22" s="4" t="e">
        <f t="shared" si="0"/>
        <v>#DIV/0!</v>
      </c>
      <c r="BK22" s="4" t="e">
        <f t="shared" si="8"/>
        <v>#DIV/0!</v>
      </c>
    </row>
    <row r="23" spans="1:63" ht="30" customHeight="1">
      <c r="A23" s="5">
        <v>21.1</v>
      </c>
      <c r="B23" s="5"/>
      <c r="C23" s="5"/>
      <c r="D23" s="5"/>
      <c r="E23" s="7">
        <f t="shared" si="1"/>
        <v>0</v>
      </c>
      <c r="F23" s="7">
        <f t="shared" si="2"/>
        <v>0</v>
      </c>
      <c r="G23" s="11"/>
      <c r="H23" s="11"/>
      <c r="I23" s="11"/>
      <c r="J23" s="11"/>
      <c r="K23" s="11"/>
      <c r="L23" s="15"/>
      <c r="M23" s="10"/>
      <c r="N23" s="10"/>
      <c r="O23" s="10"/>
      <c r="P23" s="10"/>
      <c r="Q23" s="10"/>
      <c r="R23" s="10"/>
      <c r="S23" s="10"/>
      <c r="T23" s="10"/>
      <c r="U23" s="10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2" t="e">
        <f t="shared" si="3"/>
        <v>#DIV/0!</v>
      </c>
      <c r="BF23" s="13" t="e">
        <f t="shared" si="4"/>
        <v>#DIV/0!</v>
      </c>
      <c r="BG23" s="13" t="e">
        <f t="shared" si="5"/>
        <v>#DIV/0!</v>
      </c>
      <c r="BH23" s="13" t="e">
        <f t="shared" si="6"/>
        <v>#DIV/0!</v>
      </c>
      <c r="BI23" s="13" t="e">
        <f t="shared" si="7"/>
        <v>#DIV/0!</v>
      </c>
      <c r="BJ23" s="4" t="e">
        <f t="shared" si="0"/>
        <v>#DIV/0!</v>
      </c>
      <c r="BK23" s="4" t="e">
        <f t="shared" si="8"/>
        <v>#DIV/0!</v>
      </c>
    </row>
    <row r="24" spans="1:63" ht="30" customHeight="1">
      <c r="A24" s="5">
        <v>21.2</v>
      </c>
      <c r="B24" s="5"/>
      <c r="C24" s="5"/>
      <c r="D24" s="5"/>
      <c r="E24" s="7">
        <f t="shared" si="1"/>
        <v>0</v>
      </c>
      <c r="F24" s="7">
        <f t="shared" si="2"/>
        <v>0</v>
      </c>
      <c r="G24" s="11"/>
      <c r="H24" s="11"/>
      <c r="I24" s="11"/>
      <c r="J24" s="11"/>
      <c r="K24" s="11"/>
      <c r="L24" s="15"/>
      <c r="M24" s="10"/>
      <c r="N24" s="10"/>
      <c r="O24" s="10"/>
      <c r="P24" s="10"/>
      <c r="Q24" s="10"/>
      <c r="R24" s="10"/>
      <c r="S24" s="10"/>
      <c r="T24" s="10"/>
      <c r="U24" s="10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2" t="e">
        <f t="shared" si="3"/>
        <v>#DIV/0!</v>
      </c>
      <c r="BF24" s="13" t="e">
        <f t="shared" si="4"/>
        <v>#DIV/0!</v>
      </c>
      <c r="BG24" s="13" t="e">
        <f t="shared" si="5"/>
        <v>#DIV/0!</v>
      </c>
      <c r="BH24" s="13" t="e">
        <f t="shared" si="6"/>
        <v>#DIV/0!</v>
      </c>
      <c r="BI24" s="13" t="e">
        <f t="shared" si="7"/>
        <v>#DIV/0!</v>
      </c>
      <c r="BJ24" s="4" t="e">
        <f t="shared" si="0"/>
        <v>#DIV/0!</v>
      </c>
      <c r="BK24" s="4" t="e">
        <f t="shared" si="8"/>
        <v>#DIV/0!</v>
      </c>
    </row>
    <row r="25" spans="1:63" ht="30" customHeight="1">
      <c r="A25" s="5">
        <v>22</v>
      </c>
      <c r="B25" s="5"/>
      <c r="C25" s="5"/>
      <c r="D25" s="5"/>
      <c r="E25" s="7">
        <f t="shared" si="1"/>
        <v>0</v>
      </c>
      <c r="F25" s="7">
        <f t="shared" si="2"/>
        <v>0</v>
      </c>
      <c r="G25" s="11"/>
      <c r="H25" s="11"/>
      <c r="I25" s="11"/>
      <c r="J25" s="11"/>
      <c r="K25" s="11"/>
      <c r="L25" s="15"/>
      <c r="M25" s="10"/>
      <c r="N25" s="10"/>
      <c r="O25" s="10"/>
      <c r="P25" s="10"/>
      <c r="Q25" s="10"/>
      <c r="R25" s="10"/>
      <c r="S25" s="10"/>
      <c r="T25" s="10"/>
      <c r="U25" s="10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2" t="e">
        <f t="shared" si="3"/>
        <v>#DIV/0!</v>
      </c>
      <c r="BF25" s="13" t="e">
        <f t="shared" si="4"/>
        <v>#DIV/0!</v>
      </c>
      <c r="BG25" s="13" t="e">
        <f t="shared" si="5"/>
        <v>#DIV/0!</v>
      </c>
      <c r="BH25" s="13" t="e">
        <f t="shared" si="6"/>
        <v>#DIV/0!</v>
      </c>
      <c r="BI25" s="13" t="e">
        <f t="shared" si="7"/>
        <v>#DIV/0!</v>
      </c>
      <c r="BJ25" s="4" t="e">
        <f t="shared" si="0"/>
        <v>#DIV/0!</v>
      </c>
      <c r="BK25" s="4" t="e">
        <f t="shared" si="8"/>
        <v>#DIV/0!</v>
      </c>
    </row>
    <row r="26" spans="1:63" ht="30" customHeight="1">
      <c r="A26" s="16">
        <v>23</v>
      </c>
      <c r="B26" s="16"/>
      <c r="C26" s="16"/>
      <c r="D26" s="16"/>
      <c r="E26" s="7">
        <f t="shared" si="1"/>
        <v>0</v>
      </c>
      <c r="F26" s="7">
        <f t="shared" si="2"/>
        <v>0</v>
      </c>
      <c r="G26" s="11"/>
      <c r="H26" s="11"/>
      <c r="I26" s="11"/>
      <c r="J26" s="11"/>
      <c r="K26" s="11"/>
      <c r="L26" s="15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2" t="e">
        <f t="shared" si="3"/>
        <v>#DIV/0!</v>
      </c>
      <c r="BF26" s="13" t="e">
        <f t="shared" si="4"/>
        <v>#DIV/0!</v>
      </c>
      <c r="BG26" s="13" t="e">
        <f t="shared" si="5"/>
        <v>#DIV/0!</v>
      </c>
      <c r="BH26" s="13" t="e">
        <f t="shared" si="6"/>
        <v>#DIV/0!</v>
      </c>
      <c r="BI26" s="13" t="e">
        <f t="shared" si="7"/>
        <v>#DIV/0!</v>
      </c>
      <c r="BJ26" s="4" t="e">
        <f t="shared" si="0"/>
        <v>#DIV/0!</v>
      </c>
      <c r="BK26" s="4" t="e">
        <f t="shared" si="8"/>
        <v>#DIV/0!</v>
      </c>
    </row>
    <row r="27" spans="1:63" ht="30" customHeight="1">
      <c r="A27" s="10">
        <v>24</v>
      </c>
      <c r="B27" s="10"/>
      <c r="C27" s="10"/>
      <c r="D27" s="10"/>
      <c r="E27" s="7">
        <f t="shared" si="1"/>
        <v>0</v>
      </c>
      <c r="F27" s="7">
        <f t="shared" si="2"/>
        <v>0</v>
      </c>
      <c r="G27" s="11"/>
      <c r="H27" s="11"/>
      <c r="I27" s="11"/>
      <c r="J27" s="11"/>
      <c r="K27" s="11"/>
      <c r="L27" s="10"/>
      <c r="M27" s="15"/>
      <c r="N27" s="15"/>
      <c r="O27" s="15"/>
      <c r="P27" s="15"/>
      <c r="Q27" s="15"/>
      <c r="R27" s="15"/>
      <c r="S27" s="15"/>
      <c r="T27" s="15"/>
      <c r="U27" s="15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0"/>
      <c r="BF27" s="14"/>
      <c r="BG27" s="14"/>
      <c r="BH27" s="14"/>
      <c r="BI27" s="14"/>
      <c r="BJ27" s="4"/>
      <c r="BK27" s="4"/>
    </row>
    <row r="28" spans="1:63" ht="30" customHeight="1">
      <c r="A28" s="17"/>
      <c r="B28" s="17"/>
      <c r="C28" s="17"/>
      <c r="D28" s="17"/>
      <c r="E28" s="17"/>
      <c r="F28" s="17"/>
      <c r="G28" s="17"/>
      <c r="H28" s="18"/>
      <c r="I28" s="18"/>
      <c r="J28" s="18"/>
      <c r="K28" s="18"/>
      <c r="L28" s="18"/>
    </row>
    <row r="29" spans="1:63" ht="30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63" ht="30" customHeight="1">
      <c r="A30" s="17"/>
      <c r="B30" s="17"/>
      <c r="C30" s="17"/>
      <c r="D30" s="17"/>
      <c r="E30" s="17"/>
      <c r="F30" s="19"/>
      <c r="G30" s="17"/>
      <c r="H30" s="17"/>
      <c r="I30" s="17"/>
      <c r="J30" s="17"/>
      <c r="K30" s="17"/>
      <c r="L30" s="17"/>
    </row>
    <row r="31" spans="1:63" ht="30.75" customHeight="1">
      <c r="F31" s="20"/>
      <c r="I31" s="21"/>
      <c r="J31" s="21"/>
    </row>
  </sheetData>
  <protectedRanges>
    <protectedRange sqref="B3:D12" name="区域1"/>
    <protectedRange sqref="G3:O12" name="区域1_1"/>
  </protectedRanges>
  <mergeCells count="7">
    <mergeCell ref="G1:BD1"/>
    <mergeCell ref="A1:A2"/>
    <mergeCell ref="B1:B2"/>
    <mergeCell ref="C1:C2"/>
    <mergeCell ref="D1:D2"/>
    <mergeCell ref="E1:E2"/>
    <mergeCell ref="F1:F2"/>
  </mergeCells>
  <phoneticPr fontId="11" type="noConversion"/>
  <conditionalFormatting sqref="A28:K29">
    <cfRule type="expression" dxfId="5" priority="3">
      <formula>OR(NOT(ISNUMBER(A28)),A28&lt;MIN($E28,$F28),A28&gt;MAX($E28,$F28))</formula>
    </cfRule>
  </conditionalFormatting>
  <conditionalFormatting sqref="G30:K1048576">
    <cfRule type="expression" dxfId="4" priority="8">
      <formula>OR(NOT(ISNUMBER(G30)),G30&lt;MIN($E30,$F30),G30&gt;MAX($E30,$F30))</formula>
    </cfRule>
  </conditionalFormatting>
  <conditionalFormatting sqref="G3:BD27">
    <cfRule type="expression" dxfId="3" priority="1">
      <formula>OR(NOT(ISNUMBER(G3)),G3&lt;MIN($E3,$F3),G3&gt;MAX($E3,$F3))</formula>
    </cfRule>
  </conditionalFormatting>
  <conditionalFormatting sqref="BK1:BK1048576">
    <cfRule type="expression" dxfId="2" priority="5">
      <formula>$BK1="待观察"</formula>
    </cfRule>
    <cfRule type="expression" dxfId="1" priority="6">
      <formula>$BK1="NG"</formula>
    </cfRule>
    <cfRule type="expression" dxfId="0" priority="7">
      <formula>$BK1="OK"</formula>
    </cfRule>
  </conditionalFormatting>
  <dataValidations count="2">
    <dataValidation type="decimal" allowBlank="1" showInputMessage="1" showErrorMessage="1" errorTitle="注意（仅限于数值输入）" error="您的输入有误，请重新输入！" sqref="B3:B12 G3:O12" xr:uid="{00000000-0002-0000-0100-000000000000}">
      <formula1>-1000</formula1>
      <formula2>1000</formula2>
    </dataValidation>
    <dataValidation allowBlank="1" showInputMessage="1" showErrorMessage="1" sqref="C3:D12" xr:uid="{00000000-0002-0000-0100-000001000000}"/>
  </dataValidations>
  <printOptions horizontalCentered="1" verticalCentered="1" gridLines="1"/>
  <pageMargins left="0.196850393700787" right="0.196850393700787" top="0.196850393700787" bottom="0.196850393700787" header="0.511811023622047" footer="0.196850393700787"/>
  <pageSetup paperSize="9" scale="75" fitToHeight="0" orientation="portrait" blackAndWhite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>
    <arrUserId title="区域1" rangeCreator="" othersAccessPermission="edit"/>
    <arrUserId title="区域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A</vt:lpstr>
      <vt:lpstr>CPK</vt:lpstr>
      <vt:lpstr>A!Print_Area</vt:lpstr>
      <vt:lpstr>CPK!Print_Area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ZhanDong Huang</cp:lastModifiedBy>
  <cp:lastPrinted>2026-02-08T02:41:00Z</cp:lastPrinted>
  <dcterms:created xsi:type="dcterms:W3CDTF">2025-07-11T04:57:00Z</dcterms:created>
  <dcterms:modified xsi:type="dcterms:W3CDTF">2026-07-08T07:45:14Z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294A3A9EBAAF4595BFC7D3CD317F414D_13</vt:lpwstr>
  </property>
  <property fmtid="{D5CDD505-2E9C-101B-9397-08002B2CF9AE}" pid="3" name="KSOProductBuildVer">
    <vt:lpwstr>2052-12.1.0.26884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